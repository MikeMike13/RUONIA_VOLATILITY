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!MATLAB\!!!!MODELS\RUONIA_VOL\"/>
    </mc:Choice>
  </mc:AlternateContent>
  <xr:revisionPtr revIDLastSave="0" documentId="13_ncr:1_{D812DB42-64E0-4E71-9DE6-1967B05A1171}" xr6:coauthVersionLast="47" xr6:coauthVersionMax="47" xr10:uidLastSave="{00000000-0000-0000-0000-000000000000}"/>
  <bookViews>
    <workbookView xWindow="4050" yWindow="300" windowWidth="17310" windowHeight="17700" xr2:uid="{D9E88691-1A2D-41BA-9966-D7DA16989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C43" i="1"/>
  <c r="E42" i="1"/>
  <c r="C42" i="1"/>
  <c r="E41" i="1"/>
  <c r="E40" i="1"/>
  <c r="E39" i="1"/>
  <c r="E38" i="1"/>
  <c r="E37" i="1"/>
  <c r="E36" i="1"/>
  <c r="E35" i="1"/>
  <c r="E34" i="1"/>
  <c r="E33" i="1"/>
  <c r="E32" i="1"/>
  <c r="E31" i="1"/>
  <c r="E30" i="1"/>
  <c r="C30" i="1"/>
  <c r="E29" i="1"/>
  <c r="D29" i="1"/>
  <c r="E28" i="1"/>
  <c r="E27" i="1"/>
  <c r="D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C12" i="1"/>
  <c r="C13" i="1" s="1"/>
  <c r="C14" i="1" s="1"/>
  <c r="E11" i="1"/>
  <c r="A11" i="1"/>
  <c r="E10" i="1"/>
  <c r="E9" i="1"/>
  <c r="E8" i="1"/>
  <c r="D8" i="1"/>
  <c r="C8" i="1"/>
  <c r="E7" i="1"/>
  <c r="E6" i="1"/>
  <c r="E5" i="1"/>
  <c r="D5" i="1"/>
  <c r="E4" i="1"/>
  <c r="E3" i="1"/>
  <c r="E2" i="1"/>
  <c r="D12" i="1" l="1"/>
  <c r="C31" i="1"/>
  <c r="D30" i="1"/>
  <c r="C15" i="1"/>
  <c r="C9" i="1"/>
  <c r="C44" i="1"/>
  <c r="C45" i="1" l="1"/>
  <c r="C16" i="1"/>
  <c r="D16" i="1"/>
  <c r="C10" i="1"/>
  <c r="D9" i="1"/>
  <c r="C32" i="1"/>
  <c r="D31" i="1"/>
  <c r="C46" i="1" l="1"/>
  <c r="D32" i="1"/>
  <c r="C33" i="1"/>
  <c r="D17" i="1"/>
  <c r="C17" i="1"/>
  <c r="D10" i="1"/>
  <c r="C18" i="1" l="1"/>
  <c r="D33" i="1"/>
  <c r="C34" i="1"/>
  <c r="C47" i="1"/>
  <c r="C35" i="1" l="1"/>
  <c r="D34" i="1"/>
  <c r="C48" i="1"/>
  <c r="D18" i="1"/>
  <c r="C19" i="1"/>
  <c r="C49" i="1" l="1"/>
  <c r="D35" i="1"/>
  <c r="C20" i="1"/>
  <c r="D19" i="1"/>
  <c r="C36" i="1"/>
  <c r="C50" i="1" l="1"/>
  <c r="C21" i="1"/>
  <c r="D20" i="1"/>
  <c r="C37" i="1"/>
  <c r="D21" i="1" l="1"/>
  <c r="C22" i="1"/>
  <c r="C38" i="1"/>
  <c r="D22" i="1" l="1"/>
  <c r="C23" i="1"/>
  <c r="C39" i="1"/>
  <c r="C24" i="1" l="1"/>
  <c r="D23" i="1"/>
  <c r="C40" i="1"/>
  <c r="C41" i="1" l="1"/>
  <c r="D25" i="1"/>
  <c r="D24" i="1"/>
</calcChain>
</file>

<file path=xl/sharedStrings.xml><?xml version="1.0" encoding="utf-8"?>
<sst xmlns="http://schemas.openxmlformats.org/spreadsheetml/2006/main" count="5" uniqueCount="5">
  <si>
    <t>Date</t>
  </si>
  <si>
    <t>Extra</t>
  </si>
  <si>
    <t>RateNew</t>
  </si>
  <si>
    <t>Consensus</t>
  </si>
  <si>
    <t>EffDate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</si>
</sst>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1A48-4079-4A4E-816F-D81D9D2241D4}">
  <dimension ref="A1:E50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5" x14ac:dyDescent="0.25"/>
  <cols>
    <col min="1" max="1" width="27.42578125" customWidth="1"/>
    <col min="2" max="2" width="5.42578125" style="1" bestFit="1" customWidth="1"/>
    <col min="3" max="3" width="10.7109375" bestFit="1" customWidth="1"/>
    <col min="5" max="5" width="2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44239</v>
      </c>
      <c r="B2" s="3">
        <v>0</v>
      </c>
      <c r="C2" s="4">
        <v>4.25</v>
      </c>
      <c r="D2" s="4">
        <v>4.25</v>
      </c>
      <c r="E2" s="2">
        <f t="shared" ref="E2:E10" si="0">A2+3</f>
        <v>44242</v>
      </c>
    </row>
    <row r="3" spans="1:5" x14ac:dyDescent="0.25">
      <c r="A3" s="2">
        <v>44274</v>
      </c>
      <c r="B3" s="3">
        <v>0</v>
      </c>
      <c r="C3" s="4">
        <v>4.5</v>
      </c>
      <c r="D3" s="4">
        <v>4.25</v>
      </c>
      <c r="E3" s="2">
        <f t="shared" si="0"/>
        <v>44277</v>
      </c>
    </row>
    <row r="4" spans="1:5" x14ac:dyDescent="0.25">
      <c r="A4" s="2">
        <v>44309</v>
      </c>
      <c r="B4" s="3">
        <v>0</v>
      </c>
      <c r="C4" s="4">
        <v>5</v>
      </c>
      <c r="D4" s="4">
        <v>4.75</v>
      </c>
      <c r="E4" s="2">
        <f t="shared" si="0"/>
        <v>44312</v>
      </c>
    </row>
    <row r="5" spans="1:5" x14ac:dyDescent="0.25">
      <c r="A5" s="2">
        <v>44358</v>
      </c>
      <c r="B5" s="3">
        <v>0</v>
      </c>
      <c r="C5" s="4">
        <v>5.5</v>
      </c>
      <c r="D5" s="4">
        <f>C5</f>
        <v>5.5</v>
      </c>
      <c r="E5" s="2">
        <f t="shared" si="0"/>
        <v>44361</v>
      </c>
    </row>
    <row r="6" spans="1:5" x14ac:dyDescent="0.25">
      <c r="A6" s="2">
        <v>44400</v>
      </c>
      <c r="B6" s="3">
        <v>0</v>
      </c>
      <c r="C6" s="4">
        <v>6.5</v>
      </c>
      <c r="D6" s="4">
        <v>6.5</v>
      </c>
      <c r="E6" s="2">
        <f t="shared" si="0"/>
        <v>44403</v>
      </c>
    </row>
    <row r="7" spans="1:5" x14ac:dyDescent="0.25">
      <c r="A7" s="2">
        <v>44449</v>
      </c>
      <c r="B7" s="3">
        <v>0</v>
      </c>
      <c r="C7" s="4">
        <v>6.75</v>
      </c>
      <c r="D7" s="4">
        <v>7</v>
      </c>
      <c r="E7" s="2">
        <f t="shared" si="0"/>
        <v>44452</v>
      </c>
    </row>
    <row r="8" spans="1:5" x14ac:dyDescent="0.25">
      <c r="A8" s="2">
        <v>44491</v>
      </c>
      <c r="B8" s="3">
        <v>0</v>
      </c>
      <c r="C8" s="4">
        <f>C7+0.75</f>
        <v>7.5</v>
      </c>
      <c r="D8" s="4">
        <f>C7+0.5</f>
        <v>7.25</v>
      </c>
      <c r="E8" s="2">
        <f t="shared" si="0"/>
        <v>44494</v>
      </c>
    </row>
    <row r="9" spans="1:5" x14ac:dyDescent="0.25">
      <c r="A9" s="2">
        <v>44547</v>
      </c>
      <c r="B9" s="3">
        <v>0</v>
      </c>
      <c r="C9" s="4">
        <f>C8+1</f>
        <v>8.5</v>
      </c>
      <c r="D9" s="4">
        <f>C9</f>
        <v>8.5</v>
      </c>
      <c r="E9" s="2">
        <f t="shared" si="0"/>
        <v>44550</v>
      </c>
    </row>
    <row r="10" spans="1:5" x14ac:dyDescent="0.25">
      <c r="A10" s="2">
        <v>44603</v>
      </c>
      <c r="B10" s="3">
        <v>0</v>
      </c>
      <c r="C10" s="4">
        <f>C9+1</f>
        <v>9.5</v>
      </c>
      <c r="D10" s="4">
        <f>C10</f>
        <v>9.5</v>
      </c>
      <c r="E10" s="2">
        <f t="shared" si="0"/>
        <v>44606</v>
      </c>
    </row>
    <row r="11" spans="1:5" x14ac:dyDescent="0.25">
      <c r="A11" s="2">
        <f>A10+17</f>
        <v>44620</v>
      </c>
      <c r="B11" s="3">
        <v>1</v>
      </c>
      <c r="C11" s="4">
        <v>20</v>
      </c>
      <c r="D11" s="4"/>
      <c r="E11" s="2">
        <f>A11</f>
        <v>44620</v>
      </c>
    </row>
    <row r="12" spans="1:5" x14ac:dyDescent="0.25">
      <c r="A12" s="2">
        <v>44638</v>
      </c>
      <c r="B12" s="3">
        <v>0</v>
      </c>
      <c r="C12" s="4">
        <f>C11</f>
        <v>20</v>
      </c>
      <c r="D12" s="4">
        <f>C12</f>
        <v>20</v>
      </c>
      <c r="E12" s="2">
        <f>A12+3</f>
        <v>44641</v>
      </c>
    </row>
    <row r="13" spans="1:5" x14ac:dyDescent="0.25">
      <c r="A13" s="2">
        <v>44659</v>
      </c>
      <c r="B13" s="3">
        <v>1</v>
      </c>
      <c r="C13" s="4">
        <f>C12-3</f>
        <v>17</v>
      </c>
      <c r="D13" s="4"/>
      <c r="E13" s="2">
        <f>A13+3</f>
        <v>44662</v>
      </c>
    </row>
    <row r="14" spans="1:5" x14ac:dyDescent="0.25">
      <c r="A14" s="2">
        <v>44680</v>
      </c>
      <c r="B14" s="3">
        <v>0</v>
      </c>
      <c r="C14" s="4">
        <f>C13-3</f>
        <v>14</v>
      </c>
      <c r="D14" s="4">
        <v>15</v>
      </c>
      <c r="E14" s="2">
        <f>A14+3</f>
        <v>44683</v>
      </c>
    </row>
    <row r="15" spans="1:5" x14ac:dyDescent="0.25">
      <c r="A15" s="2">
        <v>44707</v>
      </c>
      <c r="B15" s="3">
        <v>1</v>
      </c>
      <c r="C15" s="4">
        <f>C14-3</f>
        <v>11</v>
      </c>
      <c r="D15" s="4"/>
      <c r="E15" s="2">
        <f>A15+1</f>
        <v>44708</v>
      </c>
    </row>
    <row r="16" spans="1:5" x14ac:dyDescent="0.25">
      <c r="A16" s="2">
        <v>44722</v>
      </c>
      <c r="B16" s="3">
        <v>0</v>
      </c>
      <c r="C16" s="4">
        <f>C15-1.5</f>
        <v>9.5</v>
      </c>
      <c r="D16" s="4">
        <f>C15-1</f>
        <v>10</v>
      </c>
      <c r="E16" s="2">
        <f t="shared" ref="E16:E25" si="1">A16+3</f>
        <v>44725</v>
      </c>
    </row>
    <row r="17" spans="1:5" x14ac:dyDescent="0.25">
      <c r="A17" s="2">
        <v>44764</v>
      </c>
      <c r="B17" s="3">
        <v>0</v>
      </c>
      <c r="C17" s="4">
        <f>C16-1.5</f>
        <v>8</v>
      </c>
      <c r="D17" s="4">
        <f>C16-0.5</f>
        <v>9</v>
      </c>
      <c r="E17" s="2">
        <f t="shared" si="1"/>
        <v>44767</v>
      </c>
    </row>
    <row r="18" spans="1:5" x14ac:dyDescent="0.25">
      <c r="A18" s="2">
        <v>44820</v>
      </c>
      <c r="B18" s="3">
        <v>0</v>
      </c>
      <c r="C18" s="4">
        <f>C17-0.5</f>
        <v>7.5</v>
      </c>
      <c r="D18" s="4">
        <f t="shared" ref="D18:D24" si="2">C18</f>
        <v>7.5</v>
      </c>
      <c r="E18" s="2">
        <f t="shared" si="1"/>
        <v>44823</v>
      </c>
    </row>
    <row r="19" spans="1:5" x14ac:dyDescent="0.25">
      <c r="A19" s="2">
        <v>44862</v>
      </c>
      <c r="B19" s="3">
        <v>0</v>
      </c>
      <c r="C19" s="4">
        <f t="shared" ref="C19:C24" si="3">C18</f>
        <v>7.5</v>
      </c>
      <c r="D19" s="4">
        <f t="shared" si="2"/>
        <v>7.5</v>
      </c>
      <c r="E19" s="2">
        <f t="shared" si="1"/>
        <v>44865</v>
      </c>
    </row>
    <row r="20" spans="1:5" x14ac:dyDescent="0.25">
      <c r="A20" s="2">
        <v>44911</v>
      </c>
      <c r="B20" s="3">
        <v>0</v>
      </c>
      <c r="C20" s="4">
        <f t="shared" si="3"/>
        <v>7.5</v>
      </c>
      <c r="D20" s="4">
        <f t="shared" si="2"/>
        <v>7.5</v>
      </c>
      <c r="E20" s="2">
        <f t="shared" si="1"/>
        <v>44914</v>
      </c>
    </row>
    <row r="21" spans="1:5" x14ac:dyDescent="0.25">
      <c r="A21" s="2">
        <v>44967</v>
      </c>
      <c r="B21" s="3">
        <v>0</v>
      </c>
      <c r="C21" s="4">
        <f t="shared" si="3"/>
        <v>7.5</v>
      </c>
      <c r="D21" s="4">
        <f t="shared" si="2"/>
        <v>7.5</v>
      </c>
      <c r="E21" s="2">
        <f t="shared" si="1"/>
        <v>44970</v>
      </c>
    </row>
    <row r="22" spans="1:5" x14ac:dyDescent="0.25">
      <c r="A22" s="2">
        <v>45002</v>
      </c>
      <c r="B22" s="3">
        <v>0</v>
      </c>
      <c r="C22" s="4">
        <f t="shared" si="3"/>
        <v>7.5</v>
      </c>
      <c r="D22" s="4">
        <f t="shared" si="2"/>
        <v>7.5</v>
      </c>
      <c r="E22" s="2">
        <f t="shared" si="1"/>
        <v>45005</v>
      </c>
    </row>
    <row r="23" spans="1:5" x14ac:dyDescent="0.25">
      <c r="A23" s="2">
        <v>45044</v>
      </c>
      <c r="B23" s="3">
        <v>0</v>
      </c>
      <c r="C23" s="4">
        <f t="shared" si="3"/>
        <v>7.5</v>
      </c>
      <c r="D23" s="4">
        <f t="shared" si="2"/>
        <v>7.5</v>
      </c>
      <c r="E23" s="2">
        <f t="shared" si="1"/>
        <v>45047</v>
      </c>
    </row>
    <row r="24" spans="1:5" x14ac:dyDescent="0.25">
      <c r="A24" s="2">
        <v>45086</v>
      </c>
      <c r="B24" s="3">
        <v>0</v>
      </c>
      <c r="C24" s="4">
        <f t="shared" si="3"/>
        <v>7.5</v>
      </c>
      <c r="D24" s="4">
        <f t="shared" si="2"/>
        <v>7.5</v>
      </c>
      <c r="E24" s="2">
        <f t="shared" si="1"/>
        <v>45089</v>
      </c>
    </row>
    <row r="25" spans="1:5" x14ac:dyDescent="0.25">
      <c r="A25" s="2">
        <v>45128</v>
      </c>
      <c r="B25" s="3">
        <v>0</v>
      </c>
      <c r="C25" s="4">
        <v>8.5</v>
      </c>
      <c r="D25" s="4">
        <f>C24+0.5</f>
        <v>8</v>
      </c>
      <c r="E25" s="2">
        <f t="shared" si="1"/>
        <v>45131</v>
      </c>
    </row>
    <row r="26" spans="1:5" x14ac:dyDescent="0.25">
      <c r="A26" s="2">
        <v>45153</v>
      </c>
      <c r="B26" s="3">
        <v>1</v>
      </c>
      <c r="C26" s="4">
        <v>12</v>
      </c>
      <c r="D26" s="4"/>
      <c r="E26" s="2">
        <f>A26</f>
        <v>45153</v>
      </c>
    </row>
    <row r="27" spans="1:5" x14ac:dyDescent="0.25">
      <c r="A27" s="2">
        <v>45184</v>
      </c>
      <c r="B27" s="3">
        <v>0</v>
      </c>
      <c r="C27" s="4">
        <v>13</v>
      </c>
      <c r="D27" s="4">
        <f>C27</f>
        <v>13</v>
      </c>
      <c r="E27" s="2">
        <f t="shared" ref="E27:E50" si="4">A27+3</f>
        <v>45187</v>
      </c>
    </row>
    <row r="28" spans="1:5" x14ac:dyDescent="0.25">
      <c r="A28" s="2">
        <v>45226</v>
      </c>
      <c r="B28" s="3">
        <v>0</v>
      </c>
      <c r="C28" s="4">
        <v>15</v>
      </c>
      <c r="D28" s="4">
        <v>14</v>
      </c>
      <c r="E28" s="2">
        <f t="shared" si="4"/>
        <v>45229</v>
      </c>
    </row>
    <row r="29" spans="1:5" x14ac:dyDescent="0.25">
      <c r="A29" s="2">
        <v>45275</v>
      </c>
      <c r="B29" s="3">
        <v>0</v>
      </c>
      <c r="C29" s="4">
        <v>16</v>
      </c>
      <c r="D29" s="4">
        <f t="shared" ref="D29:D34" si="5">C29</f>
        <v>16</v>
      </c>
      <c r="E29" s="2">
        <f t="shared" si="4"/>
        <v>45278</v>
      </c>
    </row>
    <row r="30" spans="1:5" x14ac:dyDescent="0.25">
      <c r="A30" s="2">
        <v>45338</v>
      </c>
      <c r="B30" s="3">
        <v>0</v>
      </c>
      <c r="C30" s="4">
        <f>C29</f>
        <v>16</v>
      </c>
      <c r="D30" s="4">
        <f t="shared" si="5"/>
        <v>16</v>
      </c>
      <c r="E30" s="2">
        <f t="shared" si="4"/>
        <v>45341</v>
      </c>
    </row>
    <row r="31" spans="1:5" x14ac:dyDescent="0.25">
      <c r="A31" s="2">
        <v>45373</v>
      </c>
      <c r="B31" s="3">
        <v>0</v>
      </c>
      <c r="C31" s="4">
        <f>C30</f>
        <v>16</v>
      </c>
      <c r="D31" s="4">
        <f t="shared" si="5"/>
        <v>16</v>
      </c>
      <c r="E31" s="2">
        <f t="shared" si="4"/>
        <v>45376</v>
      </c>
    </row>
    <row r="32" spans="1:5" x14ac:dyDescent="0.25">
      <c r="A32" s="2">
        <v>45408</v>
      </c>
      <c r="B32" s="3">
        <v>0</v>
      </c>
      <c r="C32" s="4">
        <f>C31</f>
        <v>16</v>
      </c>
      <c r="D32" s="4">
        <f t="shared" si="5"/>
        <v>16</v>
      </c>
      <c r="E32" s="2">
        <f t="shared" si="4"/>
        <v>45411</v>
      </c>
    </row>
    <row r="33" spans="1:5" x14ac:dyDescent="0.25">
      <c r="A33" s="2">
        <v>45450</v>
      </c>
      <c r="B33" s="3">
        <v>0</v>
      </c>
      <c r="C33" s="4">
        <f>C32</f>
        <v>16</v>
      </c>
      <c r="D33" s="4">
        <f t="shared" si="5"/>
        <v>16</v>
      </c>
      <c r="E33" s="2">
        <f t="shared" si="4"/>
        <v>45453</v>
      </c>
    </row>
    <row r="34" spans="1:5" x14ac:dyDescent="0.25">
      <c r="A34" s="2">
        <v>45499</v>
      </c>
      <c r="B34" s="3">
        <v>0</v>
      </c>
      <c r="C34" s="4">
        <f>C33+2</f>
        <v>18</v>
      </c>
      <c r="D34" s="4">
        <f t="shared" si="5"/>
        <v>18</v>
      </c>
      <c r="E34" s="2">
        <f t="shared" si="4"/>
        <v>45502</v>
      </c>
    </row>
    <row r="35" spans="1:5" x14ac:dyDescent="0.25">
      <c r="A35" s="2">
        <v>45548</v>
      </c>
      <c r="B35" s="3">
        <v>0</v>
      </c>
      <c r="C35" s="4">
        <f>C34+1</f>
        <v>19</v>
      </c>
      <c r="D35" s="4">
        <f>D34</f>
        <v>18</v>
      </c>
      <c r="E35" s="2">
        <f t="shared" si="4"/>
        <v>45551</v>
      </c>
    </row>
    <row r="36" spans="1:5" x14ac:dyDescent="0.25">
      <c r="A36" s="2">
        <v>45590</v>
      </c>
      <c r="B36" s="3">
        <v>0</v>
      </c>
      <c r="C36" s="4">
        <f>C35+2</f>
        <v>21</v>
      </c>
      <c r="D36" s="4">
        <v>20</v>
      </c>
      <c r="E36" s="2">
        <f t="shared" si="4"/>
        <v>45593</v>
      </c>
    </row>
    <row r="37" spans="1:5" x14ac:dyDescent="0.25">
      <c r="A37" s="2">
        <v>45646</v>
      </c>
      <c r="B37" s="3">
        <v>0</v>
      </c>
      <c r="C37" s="4">
        <f>C36</f>
        <v>21</v>
      </c>
      <c r="D37" s="4">
        <v>23</v>
      </c>
      <c r="E37" s="2">
        <f t="shared" si="4"/>
        <v>45649</v>
      </c>
    </row>
    <row r="38" spans="1:5" x14ac:dyDescent="0.25">
      <c r="A38" s="2">
        <v>45702</v>
      </c>
      <c r="B38" s="3">
        <v>0</v>
      </c>
      <c r="C38" s="4">
        <f>C37</f>
        <v>21</v>
      </c>
      <c r="D38" s="4">
        <v>21</v>
      </c>
      <c r="E38" s="2">
        <f t="shared" si="4"/>
        <v>45705</v>
      </c>
    </row>
    <row r="39" spans="1:5" x14ac:dyDescent="0.25">
      <c r="A39" s="2">
        <v>45737</v>
      </c>
      <c r="B39" s="3">
        <v>0</v>
      </c>
      <c r="C39" s="4">
        <f>C38</f>
        <v>21</v>
      </c>
      <c r="D39" s="4">
        <v>21</v>
      </c>
      <c r="E39" s="2">
        <f t="shared" si="4"/>
        <v>45740</v>
      </c>
    </row>
    <row r="40" spans="1:5" x14ac:dyDescent="0.25">
      <c r="A40" s="2">
        <v>45772</v>
      </c>
      <c r="B40" s="3">
        <v>0</v>
      </c>
      <c r="C40" s="4">
        <f>C39</f>
        <v>21</v>
      </c>
      <c r="D40" s="4">
        <v>21</v>
      </c>
      <c r="E40" s="2">
        <f t="shared" si="4"/>
        <v>45775</v>
      </c>
    </row>
    <row r="41" spans="1:5" x14ac:dyDescent="0.25">
      <c r="A41" s="2">
        <v>45814</v>
      </c>
      <c r="B41" s="3">
        <v>0</v>
      </c>
      <c r="C41" s="4">
        <f>C40-1</f>
        <v>20</v>
      </c>
      <c r="D41" s="4">
        <v>21</v>
      </c>
      <c r="E41" s="2">
        <f t="shared" si="4"/>
        <v>45817</v>
      </c>
    </row>
    <row r="42" spans="1:5" x14ac:dyDescent="0.25">
      <c r="A42" s="2">
        <v>45863</v>
      </c>
      <c r="B42" s="3">
        <v>0</v>
      </c>
      <c r="C42" s="4">
        <f>18</f>
        <v>18</v>
      </c>
      <c r="D42" s="4">
        <v>18</v>
      </c>
      <c r="E42" s="2">
        <f t="shared" si="4"/>
        <v>45866</v>
      </c>
    </row>
    <row r="43" spans="1:5" x14ac:dyDescent="0.25">
      <c r="A43" s="2">
        <v>45912</v>
      </c>
      <c r="B43" s="3">
        <v>0</v>
      </c>
      <c r="C43" s="4">
        <f>C42-1</f>
        <v>17</v>
      </c>
      <c r="D43" s="4">
        <v>16.25</v>
      </c>
      <c r="E43" s="2">
        <f t="shared" si="4"/>
        <v>45915</v>
      </c>
    </row>
    <row r="44" spans="1:5" x14ac:dyDescent="0.25">
      <c r="A44" s="2">
        <v>45954</v>
      </c>
      <c r="B44" s="3">
        <v>0</v>
      </c>
      <c r="C44" s="4">
        <f>C43-0.5</f>
        <v>16.5</v>
      </c>
      <c r="D44" s="4">
        <v>16.5</v>
      </c>
      <c r="E44" s="2">
        <f t="shared" si="4"/>
        <v>45957</v>
      </c>
    </row>
    <row r="45" spans="1:5" x14ac:dyDescent="0.25">
      <c r="A45" s="2">
        <v>46010</v>
      </c>
      <c r="B45" s="3">
        <v>0</v>
      </c>
      <c r="C45" s="4">
        <f>C44-0.5</f>
        <v>16</v>
      </c>
      <c r="D45" s="4">
        <v>16</v>
      </c>
      <c r="E45" s="2">
        <f t="shared" si="4"/>
        <v>46013</v>
      </c>
    </row>
    <row r="46" spans="1:5" x14ac:dyDescent="0.25">
      <c r="A46" s="2">
        <v>46066</v>
      </c>
      <c r="B46" s="3">
        <v>0</v>
      </c>
      <c r="C46" s="4">
        <f>C45-0.5</f>
        <v>15.5</v>
      </c>
      <c r="D46" s="4">
        <v>16</v>
      </c>
      <c r="E46" s="2">
        <f t="shared" si="4"/>
        <v>46069</v>
      </c>
    </row>
    <row r="47" spans="1:5" x14ac:dyDescent="0.25">
      <c r="A47" s="2">
        <v>46101</v>
      </c>
      <c r="B47" s="3">
        <v>0</v>
      </c>
      <c r="C47" s="4">
        <f>C46-0.5</f>
        <v>15</v>
      </c>
      <c r="D47" s="4">
        <v>15</v>
      </c>
      <c r="E47" s="2">
        <f t="shared" si="4"/>
        <v>46104</v>
      </c>
    </row>
    <row r="48" spans="1:5" x14ac:dyDescent="0.25">
      <c r="A48" s="2">
        <v>46136</v>
      </c>
      <c r="B48" s="3">
        <v>0</v>
      </c>
      <c r="C48" s="4">
        <f>C47-0.5</f>
        <v>14.5</v>
      </c>
      <c r="D48" s="4">
        <v>14.5</v>
      </c>
      <c r="E48" s="2">
        <f t="shared" si="4"/>
        <v>46139</v>
      </c>
    </row>
    <row r="49" spans="1:5" x14ac:dyDescent="0.25">
      <c r="A49" s="2">
        <v>46192</v>
      </c>
      <c r="B49" s="3">
        <v>0</v>
      </c>
      <c r="C49" s="4">
        <f>C48-0.25</f>
        <v>14.25</v>
      </c>
      <c r="D49" s="4">
        <v>14</v>
      </c>
      <c r="E49" s="2">
        <f t="shared" si="4"/>
        <v>46195</v>
      </c>
    </row>
    <row r="50" spans="1:5" x14ac:dyDescent="0.25">
      <c r="A50" s="2">
        <v>46227</v>
      </c>
      <c r="B50" s="3">
        <v>0</v>
      </c>
      <c r="C50" s="4">
        <f>C49-0.25</f>
        <v>14</v>
      </c>
      <c r="D50" s="4">
        <v>14.25</v>
      </c>
      <c r="E50" s="2">
        <f t="shared" si="4"/>
        <v>46230</v>
      </c>
    </row>
  </sheetData>
  <conditionalFormatting sqref="B1:B1048576">
    <cfRule type="cellIs" dxfId="0" priority="3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2026-09-01T03:16:15Z</dcterms:created>
  <dcterms:modified xsi:type="dcterms:W3CDTF">2026-09-01T14:45:42Z</dcterms:modified>
</cp:coreProperties>
</file>